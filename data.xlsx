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hatDao-D17\Desktop\Data analysis\HHF-CV\3\"/>
    </mc:Choice>
  </mc:AlternateContent>
  <xr:revisionPtr revIDLastSave="0" documentId="13_ncr:1_{1730C2B5-397C-4E6F-A94D-B69BB0CEB3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8" l="1"/>
  <c r="I3" i="8"/>
  <c r="F4" i="8"/>
  <c r="F3" i="8"/>
</calcChain>
</file>

<file path=xl/sharedStrings.xml><?xml version="1.0" encoding="utf-8"?>
<sst xmlns="http://schemas.openxmlformats.org/spreadsheetml/2006/main" count="22" uniqueCount="18">
  <si>
    <t>No</t>
  </si>
  <si>
    <t>NCT</t>
  </si>
  <si>
    <t>Ertugliflozin</t>
  </si>
  <si>
    <t>Sotagliflozin</t>
  </si>
  <si>
    <t>NCT03315143</t>
  </si>
  <si>
    <t>I1</t>
  </si>
  <si>
    <t>EI1</t>
  </si>
  <si>
    <t>NI1</t>
  </si>
  <si>
    <t>I2</t>
  </si>
  <si>
    <t>EI2</t>
  </si>
  <si>
    <t>NI2</t>
  </si>
  <si>
    <t>Placebo</t>
  </si>
  <si>
    <t>Author</t>
  </si>
  <si>
    <t>Year</t>
  </si>
  <si>
    <t>Deepak L. Bhatt</t>
  </si>
  <si>
    <t xml:space="preserve">NCT01986881 </t>
  </si>
  <si>
    <t xml:space="preserve">C.P. Cannon </t>
  </si>
  <si>
    <t xml:space="preserve">NCT03521934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</si>
</sst>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23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18">
    <tableStyle name="Overall-style" pivot="0" count="2" xr9:uid="{00000000-0011-0000-FFFF-FFFF00000000}">
      <tableStyleElement type="firstRowStripe" dxfId="235"/>
      <tableStyleElement type="secondRowStripe" dxfId="234"/>
    </tableStyle>
    <tableStyle name="Overall-style 2" pivot="0" count="2" xr9:uid="{00000000-0011-0000-FFFF-FFFF01000000}">
      <tableStyleElement type="firstRowStripe" dxfId="233"/>
      <tableStyleElement type="secondRowStripe" dxfId="232"/>
    </tableStyle>
    <tableStyle name="Overall-style 3" pivot="0" count="2" xr9:uid="{00000000-0011-0000-FFFF-FFFF02000000}">
      <tableStyleElement type="firstRowStripe" dxfId="231"/>
      <tableStyleElement type="secondRowStripe" dxfId="230"/>
    </tableStyle>
    <tableStyle name="Overall-style 4" pivot="0" count="2" xr9:uid="{00000000-0011-0000-FFFF-FFFF03000000}">
      <tableStyleElement type="firstRowStripe" dxfId="229"/>
      <tableStyleElement type="secondRowStripe" dxfId="228"/>
    </tableStyle>
    <tableStyle name="Overall-style 5" pivot="0" count="2" xr9:uid="{00000000-0011-0000-FFFF-FFFF04000000}">
      <tableStyleElement type="firstRowStripe" dxfId="227"/>
      <tableStyleElement type="secondRowStripe" dxfId="226"/>
    </tableStyle>
    <tableStyle name="Overall-style 6" pivot="0" count="2" xr9:uid="{00000000-0011-0000-FFFF-FFFF05000000}">
      <tableStyleElement type="firstRowStripe" dxfId="225"/>
      <tableStyleElement type="secondRowStripe" dxfId="224"/>
    </tableStyle>
    <tableStyle name="Overall-style 7" pivot="0" count="2" xr9:uid="{00000000-0011-0000-FFFF-FFFF06000000}">
      <tableStyleElement type="firstRowStripe" dxfId="223"/>
      <tableStyleElement type="secondRowStripe" dxfId="222"/>
    </tableStyle>
    <tableStyle name="Overall-style 8" pivot="0" count="2" xr9:uid="{00000000-0011-0000-FFFF-FFFF07000000}">
      <tableStyleElement type="firstRowStripe" dxfId="221"/>
      <tableStyleElement type="secondRowStripe" dxfId="220"/>
    </tableStyle>
    <tableStyle name="ACS-style" pivot="0" count="2" xr9:uid="{00000000-0011-0000-FFFF-FFFF08000000}">
      <tableStyleElement type="firstRowStripe" dxfId="219"/>
      <tableStyleElement type="secondRowStripe" dxfId="218"/>
    </tableStyle>
    <tableStyle name="ACS-style 2" pivot="0" count="2" xr9:uid="{00000000-0011-0000-FFFF-FFFF09000000}">
      <tableStyleElement type="firstRowStripe" dxfId="217"/>
      <tableStyleElement type="secondRowStripe" dxfId="216"/>
    </tableStyle>
    <tableStyle name="ACS-style 3" pivot="0" count="2" xr9:uid="{00000000-0011-0000-FFFF-FFFF0A000000}">
      <tableStyleElement type="firstRowStripe" dxfId="215"/>
      <tableStyleElement type="secondRowStripe" dxfId="214"/>
    </tableStyle>
    <tableStyle name="ACS-style 4" pivot="0" count="2" xr9:uid="{00000000-0011-0000-FFFF-FFFF0B000000}">
      <tableStyleElement type="firstRowStripe" dxfId="213"/>
      <tableStyleElement type="secondRowStripe" dxfId="212"/>
    </tableStyle>
    <tableStyle name="ACS-style 5" pivot="0" count="2" xr9:uid="{00000000-0011-0000-FFFF-FFFF0C000000}">
      <tableStyleElement type="firstRowStripe" dxfId="211"/>
      <tableStyleElement type="secondRowStripe" dxfId="210"/>
    </tableStyle>
    <tableStyle name="ACS-style 6" pivot="0" count="2" xr9:uid="{00000000-0011-0000-FFFF-FFFF0D000000}">
      <tableStyleElement type="firstRowStripe" dxfId="209"/>
      <tableStyleElement type="secondRowStripe" dxfId="208"/>
    </tableStyle>
    <tableStyle name="ACS-style 7" pivot="0" count="2" xr9:uid="{00000000-0011-0000-FFFF-FFFF0E000000}">
      <tableStyleElement type="firstRowStripe" dxfId="207"/>
      <tableStyleElement type="secondRowStripe" dxfId="206"/>
    </tableStyle>
    <tableStyle name="ACS-style 8" pivot="0" count="2" xr9:uid="{00000000-0011-0000-FFFF-FFFF0F000000}">
      <tableStyleElement type="firstRowStripe" dxfId="205"/>
      <tableStyleElement type="secondRowStripe" dxfId="204"/>
    </tableStyle>
    <tableStyle name="ACS-style 9" pivot="0" count="2" xr9:uid="{00000000-0011-0000-FFFF-FFFF10000000}">
      <tableStyleElement type="firstRowStripe" dxfId="203"/>
      <tableStyleElement type="secondRowStripe" dxfId="202"/>
    </tableStyle>
    <tableStyle name="ACS-style 10" pivot="0" count="2" xr9:uid="{00000000-0011-0000-FFFF-FFFF11000000}">
      <tableStyleElement type="firstRowStripe" dxfId="201"/>
      <tableStyleElement type="secondRowStripe" dxfId="200"/>
    </tableStyle>
    <tableStyle name="ACS-style 11" pivot="0" count="2" xr9:uid="{00000000-0011-0000-FFFF-FFFF12000000}">
      <tableStyleElement type="firstRowStripe" dxfId="199"/>
      <tableStyleElement type="secondRowStripe" dxfId="198"/>
    </tableStyle>
    <tableStyle name="ACS-style 12" pivot="0" count="2" xr9:uid="{00000000-0011-0000-FFFF-FFFF13000000}">
      <tableStyleElement type="firstRowStripe" dxfId="197"/>
      <tableStyleElement type="secondRowStripe" dxfId="196"/>
    </tableStyle>
    <tableStyle name="ACS-style 13" pivot="0" count="2" xr9:uid="{00000000-0011-0000-FFFF-FFFF14000000}">
      <tableStyleElement type="firstRowStripe" dxfId="195"/>
      <tableStyleElement type="secondRowStripe" dxfId="194"/>
    </tableStyle>
    <tableStyle name="ACS-style 14" pivot="0" count="2" xr9:uid="{00000000-0011-0000-FFFF-FFFF15000000}">
      <tableStyleElement type="firstRowStripe" dxfId="193"/>
      <tableStyleElement type="secondRowStripe" dxfId="192"/>
    </tableStyle>
    <tableStyle name="ACS-style 15" pivot="0" count="2" xr9:uid="{00000000-0011-0000-FFFF-FFFF16000000}">
      <tableStyleElement type="firstRowStripe" dxfId="191"/>
      <tableStyleElement type="secondRowStripe" dxfId="190"/>
    </tableStyle>
    <tableStyle name="ACS-style 16" pivot="0" count="2" xr9:uid="{00000000-0011-0000-FFFF-FFFF17000000}">
      <tableStyleElement type="firstRowStripe" dxfId="189"/>
      <tableStyleElement type="secondRowStripe" dxfId="188"/>
    </tableStyle>
    <tableStyle name="All-cause mortality-style" pivot="0" count="2" xr9:uid="{00000000-0011-0000-FFFF-FFFF18000000}">
      <tableStyleElement type="firstRowStripe" dxfId="187"/>
      <tableStyleElement type="secondRowStripe" dxfId="186"/>
    </tableStyle>
    <tableStyle name="All-cause mortality-style 2" pivot="0" count="2" xr9:uid="{00000000-0011-0000-FFFF-FFFF19000000}">
      <tableStyleElement type="firstRowStripe" dxfId="185"/>
      <tableStyleElement type="secondRowStripe" dxfId="184"/>
    </tableStyle>
    <tableStyle name="All-cause mortality-style 3" pivot="0" count="2" xr9:uid="{00000000-0011-0000-FFFF-FFFF1A000000}">
      <tableStyleElement type="firstRowStripe" dxfId="183"/>
      <tableStyleElement type="secondRowStripe" dxfId="182"/>
    </tableStyle>
    <tableStyle name="All-cause mortality-style 4" pivot="0" count="2" xr9:uid="{00000000-0011-0000-FFFF-FFFF1B000000}">
      <tableStyleElement type="firstRowStripe" dxfId="181"/>
      <tableStyleElement type="secondRowStripe" dxfId="180"/>
    </tableStyle>
    <tableStyle name="All-cause mortality-style 5" pivot="0" count="2" xr9:uid="{00000000-0011-0000-FFFF-FFFF1C000000}">
      <tableStyleElement type="firstRowStripe" dxfId="179"/>
      <tableStyleElement type="secondRowStripe" dxfId="178"/>
    </tableStyle>
    <tableStyle name="All-cause mortality-style 6" pivot="0" count="2" xr9:uid="{00000000-0011-0000-FFFF-FFFF1D000000}">
      <tableStyleElement type="firstRowStripe" dxfId="177"/>
      <tableStyleElement type="secondRowStripe" dxfId="176"/>
    </tableStyle>
    <tableStyle name="All-cause mortality-style 7" pivot="0" count="2" xr9:uid="{00000000-0011-0000-FFFF-FFFF1E000000}">
      <tableStyleElement type="firstRowStripe" dxfId="175"/>
      <tableStyleElement type="secondRowStripe" dxfId="174"/>
    </tableStyle>
    <tableStyle name="All-cause mortality-style 8" pivot="0" count="2" xr9:uid="{00000000-0011-0000-FFFF-FFFF1F000000}">
      <tableStyleElement type="firstRowStripe" dxfId="173"/>
      <tableStyleElement type="secondRowStripe" dxfId="172"/>
    </tableStyle>
    <tableStyle name="All-cause mortality-style 9" pivot="0" count="2" xr9:uid="{00000000-0011-0000-FFFF-FFFF20000000}">
      <tableStyleElement type="firstRowStripe" dxfId="171"/>
      <tableStyleElement type="secondRowStripe" dxfId="170"/>
    </tableStyle>
    <tableStyle name="All-cause mortality-style 10" pivot="0" count="2" xr9:uid="{00000000-0011-0000-FFFF-FFFF21000000}">
      <tableStyleElement type="firstRowStripe" dxfId="169"/>
      <tableStyleElement type="secondRowStripe" dxfId="168"/>
    </tableStyle>
    <tableStyle name="All-cause mortality-style 11" pivot="0" count="2" xr9:uid="{00000000-0011-0000-FFFF-FFFF22000000}">
      <tableStyleElement type="firstRowStripe" dxfId="167"/>
      <tableStyleElement type="secondRowStripe" dxfId="166"/>
    </tableStyle>
    <tableStyle name="All-cause mortality-style 12" pivot="0" count="2" xr9:uid="{00000000-0011-0000-FFFF-FFFF23000000}">
      <tableStyleElement type="firstRowStripe" dxfId="165"/>
      <tableStyleElement type="secondRowStripe" dxfId="164"/>
    </tableStyle>
    <tableStyle name="All-cause mortality-style 13" pivot="0" count="2" xr9:uid="{00000000-0011-0000-FFFF-FFFF24000000}">
      <tableStyleElement type="firstRowStripe" dxfId="163"/>
      <tableStyleElement type="secondRowStripe" dxfId="162"/>
    </tableStyle>
    <tableStyle name="All-cause mortality-style 14" pivot="0" count="2" xr9:uid="{00000000-0011-0000-FFFF-FFFF25000000}">
      <tableStyleElement type="firstRowStripe" dxfId="161"/>
      <tableStyleElement type="secondRowStripe" dxfId="160"/>
    </tableStyle>
    <tableStyle name="All-cause mortality-style 15" pivot="0" count="2" xr9:uid="{00000000-0011-0000-FFFF-FFFF26000000}">
      <tableStyleElement type="firstRowStripe" dxfId="159"/>
      <tableStyleElement type="secondRowStripe" dxfId="158"/>
    </tableStyle>
    <tableStyle name="All-cause mortality-style 16" pivot="0" count="2" xr9:uid="{00000000-0011-0000-FFFF-FFFF27000000}">
      <tableStyleElement type="firstRowStripe" dxfId="157"/>
      <tableStyleElement type="secondRowStripe" dxfId="156"/>
    </tableStyle>
    <tableStyle name="All-cause mortality-style 17" pivot="0" count="2" xr9:uid="{00000000-0011-0000-FFFF-FFFF28000000}">
      <tableStyleElement type="firstRowStripe" dxfId="155"/>
      <tableStyleElement type="secondRowStripe" dxfId="154"/>
    </tableStyle>
    <tableStyle name="All-cause mortality-style 18" pivot="0" count="2" xr9:uid="{00000000-0011-0000-FFFF-FFFF29000000}">
      <tableStyleElement type="firstRowStripe" dxfId="153"/>
      <tableStyleElement type="secondRowStripe" dxfId="152"/>
    </tableStyle>
    <tableStyle name="All-cause mortality-style 19" pivot="0" count="2" xr9:uid="{00000000-0011-0000-FFFF-FFFF2A000000}">
      <tableStyleElement type="firstRowStripe" dxfId="151"/>
      <tableStyleElement type="secondRowStripe" dxfId="150"/>
    </tableStyle>
    <tableStyle name="All-cause mortality-style 20" pivot="0" count="2" xr9:uid="{00000000-0011-0000-FFFF-FFFF2B000000}">
      <tableStyleElement type="firstRowStripe" dxfId="149"/>
      <tableStyleElement type="secondRowStripe" dxfId="148"/>
    </tableStyle>
    <tableStyle name="All-cause mortality-style 21" pivot="0" count="2" xr9:uid="{00000000-0011-0000-FFFF-FFFF2C000000}">
      <tableStyleElement type="firstRowStripe" dxfId="147"/>
      <tableStyleElement type="secondRowStripe" dxfId="146"/>
    </tableStyle>
    <tableStyle name="All-cause mortality-style 22" pivot="0" count="2" xr9:uid="{00000000-0011-0000-FFFF-FFFF2D000000}">
      <tableStyleElement type="firstRowStripe" dxfId="145"/>
      <tableStyleElement type="secondRowStripe" dxfId="144"/>
    </tableStyle>
    <tableStyle name="Cardiovascular death-style" pivot="0" count="2" xr9:uid="{00000000-0011-0000-FFFF-FFFF2E000000}">
      <tableStyleElement type="firstRowStripe" dxfId="143"/>
      <tableStyleElement type="secondRowStripe" dxfId="142"/>
    </tableStyle>
    <tableStyle name="Cardiovascular death-style 2" pivot="0" count="2" xr9:uid="{00000000-0011-0000-FFFF-FFFF2F000000}">
      <tableStyleElement type="firstRowStripe" dxfId="141"/>
      <tableStyleElement type="secondRowStripe" dxfId="140"/>
    </tableStyle>
    <tableStyle name="Cardiovascular death-style 3" pivot="0" count="2" xr9:uid="{00000000-0011-0000-FFFF-FFFF30000000}">
      <tableStyleElement type="firstRowStripe" dxfId="139"/>
      <tableStyleElement type="secondRowStripe" dxfId="138"/>
    </tableStyle>
    <tableStyle name="Cardiovascular death-style 4" pivot="0" count="2" xr9:uid="{00000000-0011-0000-FFFF-FFFF31000000}">
      <tableStyleElement type="firstRowStripe" dxfId="137"/>
      <tableStyleElement type="secondRowStripe" dxfId="136"/>
    </tableStyle>
    <tableStyle name="Cardiovascular death-style 5" pivot="0" count="2" xr9:uid="{00000000-0011-0000-FFFF-FFFF32000000}">
      <tableStyleElement type="firstRowStripe" dxfId="135"/>
      <tableStyleElement type="secondRowStripe" dxfId="134"/>
    </tableStyle>
    <tableStyle name="Cardiovascular death-style 6" pivot="0" count="2" xr9:uid="{00000000-0011-0000-FFFF-FFFF33000000}">
      <tableStyleElement type="firstRowStripe" dxfId="133"/>
      <tableStyleElement type="secondRowStripe" dxfId="132"/>
    </tableStyle>
    <tableStyle name="Cardiovascular death-style 7" pivot="0" count="2" xr9:uid="{00000000-0011-0000-FFFF-FFFF34000000}">
      <tableStyleElement type="firstRowStripe" dxfId="131"/>
      <tableStyleElement type="secondRowStripe" dxfId="130"/>
    </tableStyle>
    <tableStyle name="Cardiovascular death-style 8" pivot="0" count="2" xr9:uid="{00000000-0011-0000-FFFF-FFFF35000000}">
      <tableStyleElement type="firstRowStripe" dxfId="129"/>
      <tableStyleElement type="secondRowStripe" dxfId="128"/>
    </tableStyle>
    <tableStyle name="Cardiovascular death-style 9" pivot="0" count="2" xr9:uid="{00000000-0011-0000-FFFF-FFFF36000000}">
      <tableStyleElement type="firstRowStripe" dxfId="127"/>
      <tableStyleElement type="secondRowStripe" dxfId="126"/>
    </tableStyle>
    <tableStyle name="Cardiovascular death-style 10" pivot="0" count="2" xr9:uid="{00000000-0011-0000-FFFF-FFFF37000000}">
      <tableStyleElement type="firstRowStripe" dxfId="125"/>
      <tableStyleElement type="secondRowStripe" dxfId="124"/>
    </tableStyle>
    <tableStyle name="Cardiovascular death-style 11" pivot="0" count="2" xr9:uid="{00000000-0011-0000-FFFF-FFFF38000000}">
      <tableStyleElement type="firstRowStripe" dxfId="123"/>
      <tableStyleElement type="secondRowStripe" dxfId="122"/>
    </tableStyle>
    <tableStyle name="Cardiovascular death-style 12" pivot="0" count="2" xr9:uid="{00000000-0011-0000-FFFF-FFFF39000000}">
      <tableStyleElement type="firstRowStripe" dxfId="121"/>
      <tableStyleElement type="secondRowStripe" dxfId="120"/>
    </tableStyle>
    <tableStyle name="Cardiovascular death-style 13" pivot="0" count="2" xr9:uid="{00000000-0011-0000-FFFF-FFFF3A000000}">
      <tableStyleElement type="firstRowStripe" dxfId="119"/>
      <tableStyleElement type="secondRowStripe" dxfId="118"/>
    </tableStyle>
    <tableStyle name="Cardiovascular death-style 14" pivot="0" count="2" xr9:uid="{00000000-0011-0000-FFFF-FFFF3B000000}">
      <tableStyleElement type="firstRowStripe" dxfId="117"/>
      <tableStyleElement type="secondRowStripe" dxfId="116"/>
    </tableStyle>
    <tableStyle name="Cardiovascular death-style 15" pivot="0" count="2" xr9:uid="{00000000-0011-0000-FFFF-FFFF3C000000}">
      <tableStyleElement type="firstRowStripe" dxfId="115"/>
      <tableStyleElement type="secondRowStripe" dxfId="114"/>
    </tableStyle>
    <tableStyle name="HHF-style" pivot="0" count="2" xr9:uid="{00000000-0011-0000-FFFF-FFFF3D000000}">
      <tableStyleElement type="firstRowStripe" dxfId="113"/>
      <tableStyleElement type="secondRowStripe" dxfId="112"/>
    </tableStyle>
    <tableStyle name="HHF-style 2" pivot="0" count="2" xr9:uid="{00000000-0011-0000-FFFF-FFFF3E000000}">
      <tableStyleElement type="firstRowStripe" dxfId="111"/>
      <tableStyleElement type="secondRowStripe" dxfId="110"/>
    </tableStyle>
    <tableStyle name="HHF-style 3" pivot="0" count="2" xr9:uid="{00000000-0011-0000-FFFF-FFFF3F000000}">
      <tableStyleElement type="firstRowStripe" dxfId="109"/>
      <tableStyleElement type="secondRowStripe" dxfId="108"/>
    </tableStyle>
    <tableStyle name="HHF-style 4" pivot="0" count="2" xr9:uid="{00000000-0011-0000-FFFF-FFFF40000000}">
      <tableStyleElement type="firstRowStripe" dxfId="107"/>
      <tableStyleElement type="secondRowStripe" dxfId="106"/>
    </tableStyle>
    <tableStyle name="HHF-style 5" pivot="0" count="2" xr9:uid="{00000000-0011-0000-FFFF-FFFF41000000}">
      <tableStyleElement type="firstRowStripe" dxfId="105"/>
      <tableStyleElement type="secondRowStripe" dxfId="104"/>
    </tableStyle>
    <tableStyle name="HHF-style 6" pivot="0" count="2" xr9:uid="{00000000-0011-0000-FFFF-FFFF42000000}">
      <tableStyleElement type="firstRowStripe" dxfId="103"/>
      <tableStyleElement type="secondRowStripe" dxfId="102"/>
    </tableStyle>
    <tableStyle name="HHF-style 7" pivot="0" count="2" xr9:uid="{00000000-0011-0000-FFFF-FFFF43000000}">
      <tableStyleElement type="firstRowStripe" dxfId="101"/>
      <tableStyleElement type="secondRowStripe" dxfId="100"/>
    </tableStyle>
    <tableStyle name="HHF-style 8" pivot="0" count="2" xr9:uid="{00000000-0011-0000-FFFF-FFFF44000000}">
      <tableStyleElement type="firstRowStripe" dxfId="99"/>
      <tableStyleElement type="secondRowStripe" dxfId="98"/>
    </tableStyle>
    <tableStyle name="HHF-style 9" pivot="0" count="2" xr9:uid="{00000000-0011-0000-FFFF-FFFF45000000}">
      <tableStyleElement type="firstRowStripe" dxfId="97"/>
      <tableStyleElement type="secondRowStripe" dxfId="96"/>
    </tableStyle>
    <tableStyle name="HHF-style 10" pivot="0" count="2" xr9:uid="{00000000-0011-0000-FFFF-FFFF46000000}">
      <tableStyleElement type="firstRowStripe" dxfId="95"/>
      <tableStyleElement type="secondRowStripe" dxfId="94"/>
    </tableStyle>
    <tableStyle name="HHF-style 11" pivot="0" count="2" xr9:uid="{00000000-0011-0000-FFFF-FFFF47000000}">
      <tableStyleElement type="firstRowStripe" dxfId="93"/>
      <tableStyleElement type="secondRowStripe" dxfId="92"/>
    </tableStyle>
    <tableStyle name="HHF-style 12" pivot="0" count="2" xr9:uid="{00000000-0011-0000-FFFF-FFFF48000000}">
      <tableStyleElement type="firstRowStripe" dxfId="91"/>
      <tableStyleElement type="secondRowStripe" dxfId="90"/>
    </tableStyle>
    <tableStyle name="HHF-style 13" pivot="0" count="2" xr9:uid="{00000000-0011-0000-FFFF-FFFF49000000}">
      <tableStyleElement type="firstRowStripe" dxfId="89"/>
      <tableStyleElement type="secondRowStripe" dxfId="88"/>
    </tableStyle>
    <tableStyle name="HHF-style 14" pivot="0" count="2" xr9:uid="{00000000-0011-0000-FFFF-FFFF4A000000}">
      <tableStyleElement type="firstRowStripe" dxfId="87"/>
      <tableStyleElement type="secondRowStripe" dxfId="86"/>
    </tableStyle>
    <tableStyle name="HHF-style 15" pivot="0" count="2" xr9:uid="{00000000-0011-0000-FFFF-FFFF4B000000}">
      <tableStyleElement type="firstRowStripe" dxfId="85"/>
      <tableStyleElement type="secondRowStripe" dxfId="84"/>
    </tableStyle>
    <tableStyle name="HHF-style 16" pivot="0" count="2" xr9:uid="{00000000-0011-0000-FFFF-FFFF4C000000}">
      <tableStyleElement type="firstRowStripe" dxfId="83"/>
      <tableStyleElement type="secondRowStripe" dxfId="82"/>
    </tableStyle>
    <tableStyle name="HHF-style 17" pivot="0" count="2" xr9:uid="{00000000-0011-0000-FFFF-FFFF4D000000}">
      <tableStyleElement type="firstRowStripe" dxfId="81"/>
      <tableStyleElement type="secondRowStripe" dxfId="80"/>
    </tableStyle>
    <tableStyle name="HHF-style 18" pivot="0" count="2" xr9:uid="{00000000-0011-0000-FFFF-FFFF4E000000}">
      <tableStyleElement type="firstRowStripe" dxfId="79"/>
      <tableStyleElement type="secondRowStripe" dxfId="78"/>
    </tableStyle>
    <tableStyle name="HHF-style 19" pivot="0" count="2" xr9:uid="{00000000-0011-0000-FFFF-FFFF4F000000}">
      <tableStyleElement type="firstRowStripe" dxfId="77"/>
      <tableStyleElement type="secondRowStripe" dxfId="76"/>
    </tableStyle>
    <tableStyle name="HHF-style 20" pivot="0" count="2" xr9:uid="{00000000-0011-0000-FFFF-FFFF50000000}">
      <tableStyleElement type="firstRowStripe" dxfId="75"/>
      <tableStyleElement type="secondRowStripe" dxfId="74"/>
    </tableStyle>
    <tableStyle name="HHF-style 21" pivot="0" count="2" xr9:uid="{00000000-0011-0000-FFFF-FFFF51000000}">
      <tableStyleElement type="firstRowStripe" dxfId="73"/>
      <tableStyleElement type="secondRowStripe" dxfId="72"/>
    </tableStyle>
    <tableStyle name="HHF-style 22" pivot="0" count="2" xr9:uid="{00000000-0011-0000-FFFF-FFFF52000000}">
      <tableStyleElement type="firstRowStripe" dxfId="71"/>
      <tableStyleElement type="secondRowStripe" dxfId="70"/>
    </tableStyle>
    <tableStyle name="HHF-style 23" pivot="0" count="2" xr9:uid="{00000000-0011-0000-FFFF-FFFF53000000}">
      <tableStyleElement type="firstRowStripe" dxfId="69"/>
      <tableStyleElement type="secondRowStripe" dxfId="68"/>
    </tableStyle>
    <tableStyle name="HHF-style 24" pivot="0" count="2" xr9:uid="{00000000-0011-0000-FFFF-FFFF54000000}">
      <tableStyleElement type="firstRowStripe" dxfId="67"/>
      <tableStyleElement type="secondRowStripe" dxfId="66"/>
    </tableStyle>
    <tableStyle name="MI-style" pivot="0" count="2" xr9:uid="{00000000-0011-0000-FFFF-FFFF55000000}">
      <tableStyleElement type="firstRowStripe" dxfId="65"/>
      <tableStyleElement type="secondRowStripe" dxfId="64"/>
    </tableStyle>
    <tableStyle name="MI-style 2" pivot="0" count="2" xr9:uid="{00000000-0011-0000-FFFF-FFFF56000000}">
      <tableStyleElement type="firstRowStripe" dxfId="63"/>
      <tableStyleElement type="secondRowStripe" dxfId="62"/>
    </tableStyle>
    <tableStyle name="MI-style 3" pivot="0" count="2" xr9:uid="{00000000-0011-0000-FFFF-FFFF57000000}">
      <tableStyleElement type="firstRowStripe" dxfId="61"/>
      <tableStyleElement type="secondRowStripe" dxfId="60"/>
    </tableStyle>
    <tableStyle name="MI-style 4" pivot="0" count="2" xr9:uid="{00000000-0011-0000-FFFF-FFFF58000000}">
      <tableStyleElement type="firstRowStripe" dxfId="59"/>
      <tableStyleElement type="secondRowStripe" dxfId="58"/>
    </tableStyle>
    <tableStyle name="MI-style 5" pivot="0" count="2" xr9:uid="{00000000-0011-0000-FFFF-FFFF59000000}">
      <tableStyleElement type="firstRowStripe" dxfId="57"/>
      <tableStyleElement type="secondRowStripe" dxfId="56"/>
    </tableStyle>
    <tableStyle name="MI-style 6" pivot="0" count="2" xr9:uid="{00000000-0011-0000-FFFF-FFFF5A000000}">
      <tableStyleElement type="firstRowStripe" dxfId="55"/>
      <tableStyleElement type="secondRowStripe" dxfId="54"/>
    </tableStyle>
    <tableStyle name="MI-style 7" pivot="0" count="2" xr9:uid="{00000000-0011-0000-FFFF-FFFF5B000000}">
      <tableStyleElement type="firstRowStripe" dxfId="53"/>
      <tableStyleElement type="secondRowStripe" dxfId="52"/>
    </tableStyle>
    <tableStyle name="MI-style 8" pivot="0" count="2" xr9:uid="{00000000-0011-0000-FFFF-FFFF5C000000}">
      <tableStyleElement type="firstRowStripe" dxfId="51"/>
      <tableStyleElement type="secondRowStripe" dxfId="50"/>
    </tableStyle>
    <tableStyle name="MI-style 9" pivot="0" count="2" xr9:uid="{00000000-0011-0000-FFFF-FFFF5D000000}">
      <tableStyleElement type="firstRowStripe" dxfId="49"/>
      <tableStyleElement type="secondRowStripe" dxfId="48"/>
    </tableStyle>
    <tableStyle name="MI-style 10" pivot="0" count="2" xr9:uid="{00000000-0011-0000-FFFF-FFFF5E000000}">
      <tableStyleElement type="firstRowStripe" dxfId="47"/>
      <tableStyleElement type="secondRowStripe" dxfId="46"/>
    </tableStyle>
    <tableStyle name="MI-style 11" pivot="0" count="2" xr9:uid="{00000000-0011-0000-FFFF-FFFF5F000000}">
      <tableStyleElement type="firstRowStripe" dxfId="45"/>
      <tableStyleElement type="secondRowStripe" dxfId="44"/>
    </tableStyle>
    <tableStyle name="MI-style 12" pivot="0" count="2" xr9:uid="{00000000-0011-0000-FFFF-FFFF60000000}">
      <tableStyleElement type="firstRowStripe" dxfId="43"/>
      <tableStyleElement type="secondRowStripe" dxfId="42"/>
    </tableStyle>
    <tableStyle name="MI-style 13" pivot="0" count="2" xr9:uid="{00000000-0011-0000-FFFF-FFFF61000000}">
      <tableStyleElement type="firstRowStripe" dxfId="41"/>
      <tableStyleElement type="secondRowStripe" dxfId="40"/>
    </tableStyle>
    <tableStyle name="MI-style 14" pivot="0" count="2" xr9:uid="{00000000-0011-0000-FFFF-FFFF62000000}">
      <tableStyleElement type="firstRowStripe" dxfId="39"/>
      <tableStyleElement type="secondRowStripe" dxfId="38"/>
    </tableStyle>
    <tableStyle name="MI-style 15" pivot="0" count="2" xr9:uid="{00000000-0011-0000-FFFF-FFFF63000000}">
      <tableStyleElement type="firstRowStripe" dxfId="37"/>
      <tableStyleElement type="secondRowStripe" dxfId="36"/>
    </tableStyle>
    <tableStyle name="MI-style 16" pivot="0" count="2" xr9:uid="{00000000-0011-0000-FFFF-FFFF64000000}">
      <tableStyleElement type="firstRowStripe" dxfId="35"/>
      <tableStyleElement type="secondRowStripe" dxfId="34"/>
    </tableStyle>
    <tableStyle name="MI-style 17" pivot="0" count="2" xr9:uid="{00000000-0011-0000-FFFF-FFFF65000000}">
      <tableStyleElement type="firstRowStripe" dxfId="33"/>
      <tableStyleElement type="secondRowStripe" dxfId="32"/>
    </tableStyle>
    <tableStyle name="Stroke-style" pivot="0" count="2" xr9:uid="{00000000-0011-0000-FFFF-FFFF66000000}">
      <tableStyleElement type="firstRowStripe" dxfId="31"/>
      <tableStyleElement type="secondRowStripe" dxfId="30"/>
    </tableStyle>
    <tableStyle name="Stroke-style 2" pivot="0" count="2" xr9:uid="{00000000-0011-0000-FFFF-FFFF67000000}">
      <tableStyleElement type="firstRowStripe" dxfId="29"/>
      <tableStyleElement type="secondRowStripe" dxfId="28"/>
    </tableStyle>
    <tableStyle name="Stroke-style 3" pivot="0" count="2" xr9:uid="{00000000-0011-0000-FFFF-FFFF68000000}">
      <tableStyleElement type="firstRowStripe" dxfId="27"/>
      <tableStyleElement type="secondRowStripe" dxfId="26"/>
    </tableStyle>
    <tableStyle name="Stroke-style 4" pivot="0" count="2" xr9:uid="{00000000-0011-0000-FFFF-FFFF69000000}">
      <tableStyleElement type="firstRowStripe" dxfId="25"/>
      <tableStyleElement type="secondRowStripe" dxfId="24"/>
    </tableStyle>
    <tableStyle name="Stroke-style 5" pivot="0" count="2" xr9:uid="{00000000-0011-0000-FFFF-FFFF6A000000}">
      <tableStyleElement type="firstRowStripe" dxfId="23"/>
      <tableStyleElement type="secondRowStripe" dxfId="22"/>
    </tableStyle>
    <tableStyle name="Stroke-style 6" pivot="0" count="2" xr9:uid="{00000000-0011-0000-FFFF-FFFF6B000000}">
      <tableStyleElement type="firstRowStripe" dxfId="21"/>
      <tableStyleElement type="secondRowStripe" dxfId="20"/>
    </tableStyle>
    <tableStyle name="Stroke-style 7" pivot="0" count="2" xr9:uid="{00000000-0011-0000-FFFF-FFFF6C000000}">
      <tableStyleElement type="firstRowStripe" dxfId="19"/>
      <tableStyleElement type="secondRowStripe" dxfId="18"/>
    </tableStyle>
    <tableStyle name="Stroke-style 8" pivot="0" count="2" xr9:uid="{00000000-0011-0000-FFFF-FFFF6D000000}">
      <tableStyleElement type="firstRowStripe" dxfId="17"/>
      <tableStyleElement type="secondRowStripe" dxfId="16"/>
    </tableStyle>
    <tableStyle name="Stroke-style 9" pivot="0" count="2" xr9:uid="{00000000-0011-0000-FFFF-FFFF6E000000}">
      <tableStyleElement type="firstRowStripe" dxfId="15"/>
      <tableStyleElement type="secondRowStripe" dxfId="14"/>
    </tableStyle>
    <tableStyle name="Stroke-style 10" pivot="0" count="2" xr9:uid="{00000000-0011-0000-FFFF-FFFF6F000000}">
      <tableStyleElement type="firstRowStripe" dxfId="13"/>
      <tableStyleElement type="secondRowStripe" dxfId="12"/>
    </tableStyle>
    <tableStyle name="Stroke-style 11" pivot="0" count="2" xr9:uid="{00000000-0011-0000-FFFF-FFFF70000000}">
      <tableStyleElement type="firstRowStripe" dxfId="11"/>
      <tableStyleElement type="secondRowStripe" dxfId="10"/>
    </tableStyle>
    <tableStyle name="Stroke-style 12" pivot="0" count="2" xr9:uid="{00000000-0011-0000-FFFF-FFFF71000000}">
      <tableStyleElement type="firstRowStripe" dxfId="9"/>
      <tableStyleElement type="secondRowStripe" dxfId="8"/>
    </tableStyle>
    <tableStyle name="Stroke-style 13" pivot="0" count="2" xr9:uid="{00000000-0011-0000-FFFF-FFFF72000000}">
      <tableStyleElement type="firstRowStripe" dxfId="7"/>
      <tableStyleElement type="secondRowStripe" dxfId="6"/>
    </tableStyle>
    <tableStyle name="Stroke-style 14" pivot="0" count="2" xr9:uid="{00000000-0011-0000-FFFF-FFFF73000000}">
      <tableStyleElement type="firstRowStripe" dxfId="5"/>
      <tableStyleElement type="secondRowStripe" dxfId="4"/>
    </tableStyle>
    <tableStyle name="Stroke-style 15" pivot="0" count="2" xr9:uid="{00000000-0011-0000-FFFF-FFFF74000000}">
      <tableStyleElement type="firstRowStripe" dxfId="3"/>
      <tableStyleElement type="secondRowStripe" dxfId="2"/>
    </tableStyle>
    <tableStyle name="Stroke-style 16" pivot="0" count="2" xr9:uid="{00000000-0011-0000-FFFF-FFFF7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C0CE-1405-4190-941B-7B863E78F2F3}">
  <dimension ref="A1:J4"/>
  <sheetViews>
    <sheetView tabSelected="1" workbookViewId="0">
      <selection activeCell="G20" sqref="G20"/>
    </sheetView>
  </sheetViews>
  <sheetFormatPr defaultRowHeight="12.5" x14ac:dyDescent="0.25"/>
  <cols>
    <col min="2" max="2" width="13" bestFit="1" customWidth="1"/>
    <col min="3" max="3" width="16.36328125" bestFit="1" customWidth="1"/>
    <col min="4" max="4" width="4.81640625" bestFit="1" customWidth="1"/>
    <col min="5" max="5" width="16.36328125" bestFit="1" customWidth="1"/>
    <col min="8" max="8" width="16.36328125" bestFit="1" customWidth="1"/>
  </cols>
  <sheetData>
    <row r="1" spans="1:10" x14ac:dyDescent="0.25">
      <c r="A1" s="2" t="s">
        <v>0</v>
      </c>
      <c r="B1" s="2" t="s">
        <v>1</v>
      </c>
      <c r="C1" s="2" t="s">
        <v>12</v>
      </c>
      <c r="D1" s="2" t="s">
        <v>13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5">
      <c r="A2" s="1">
        <v>1</v>
      </c>
      <c r="B2" s="1" t="s">
        <v>15</v>
      </c>
      <c r="C2" s="1" t="s">
        <v>16</v>
      </c>
      <c r="D2" s="1">
        <v>2020</v>
      </c>
      <c r="E2" s="1" t="s">
        <v>2</v>
      </c>
      <c r="F2" s="1">
        <v>444</v>
      </c>
      <c r="G2" s="1">
        <v>5499</v>
      </c>
      <c r="H2" s="1" t="s">
        <v>11</v>
      </c>
      <c r="I2" s="1">
        <v>250</v>
      </c>
      <c r="J2" s="1">
        <v>2747</v>
      </c>
    </row>
    <row r="3" spans="1:10" x14ac:dyDescent="0.25">
      <c r="A3" s="1">
        <v>2</v>
      </c>
      <c r="B3" s="1" t="s">
        <v>17</v>
      </c>
      <c r="C3" s="1" t="s">
        <v>14</v>
      </c>
      <c r="D3" s="1">
        <v>2020</v>
      </c>
      <c r="E3" s="1" t="s">
        <v>3</v>
      </c>
      <c r="F3" s="1">
        <f>194+51</f>
        <v>245</v>
      </c>
      <c r="G3" s="1">
        <v>608</v>
      </c>
      <c r="H3" s="1" t="s">
        <v>11</v>
      </c>
      <c r="I3" s="1">
        <f>297+58</f>
        <v>355</v>
      </c>
      <c r="J3" s="1">
        <v>614</v>
      </c>
    </row>
    <row r="4" spans="1:10" x14ac:dyDescent="0.25">
      <c r="A4" s="1">
        <v>3</v>
      </c>
      <c r="B4" s="1" t="s">
        <v>4</v>
      </c>
      <c r="C4" s="1" t="s">
        <v>14</v>
      </c>
      <c r="D4" s="1">
        <v>2021</v>
      </c>
      <c r="E4" s="1" t="s">
        <v>3</v>
      </c>
      <c r="F4" s="1">
        <f>245+155</f>
        <v>400</v>
      </c>
      <c r="G4" s="1">
        <v>5292</v>
      </c>
      <c r="H4" s="1" t="s">
        <v>11</v>
      </c>
      <c r="I4" s="1">
        <f>360+170</f>
        <v>530</v>
      </c>
      <c r="J4" s="1">
        <v>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Phat Dao - D17</cp:lastModifiedBy>
  <dcterms:modified xsi:type="dcterms:W3CDTF">2025-06-25T03:33:37Z</dcterms:modified>
</cp:coreProperties>
</file>